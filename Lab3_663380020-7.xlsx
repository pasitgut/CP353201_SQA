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S002" sheetId="3" r:id="rId6"/>
    <sheet state="visible" name="Test Case Design &amp; Test Results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fd5dz8ABMssucdweMEEBswCwJ5pLF2og2bjlRcQySKY="/>
    </ext>
  </extLst>
</workbook>
</file>

<file path=xl/sharedStrings.xml><?xml version="1.0" encoding="utf-8"?>
<sst xmlns="http://schemas.openxmlformats.org/spreadsheetml/2006/main" count="262" uniqueCount="174">
  <si>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</si>
  <si>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</si>
  <si>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</si>
  <si>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</si>
  <si>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</si>
  <si>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</si>
  <si>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</si>
  <si>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</si>
  <si>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</si>
  <si>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TS001</t>
  </si>
  <si>
    <t>Positive ConvertRomanNumToInt</t>
  </si>
  <si>
    <t>DN01 - DN12</t>
  </si>
  <si>
    <t>TS002</t>
  </si>
  <si>
    <t>Negative ConvertRomanNumToInt</t>
  </si>
  <si>
    <t>Total</t>
  </si>
  <si>
    <t>Test Scenario ID:</t>
  </si>
  <si>
    <t>UAT-Lab3-TS001</t>
  </si>
  <si>
    <t>Project ID:</t>
  </si>
  <si>
    <t>Roman Newmerals</t>
  </si>
  <si>
    <t>Test Scenario Name:</t>
  </si>
  <si>
    <t>Project version:</t>
  </si>
  <si>
    <t>V1.0</t>
  </si>
  <si>
    <t>Designer:</t>
  </si>
  <si>
    <t>พสิษฐ์ ผลวิเศษพรสุข</t>
  </si>
  <si>
    <t>Test Version:</t>
  </si>
  <si>
    <t>Module:</t>
  </si>
  <si>
    <t>Date:</t>
  </si>
  <si>
    <t>10 กรกฏาคม 2025</t>
  </si>
  <si>
    <t>Pre-requisite:</t>
  </si>
  <si>
    <t xml:space="preserve">Description: </t>
  </si>
  <si>
    <t>การแปลงเลข roman เป็นเลขสากล กรณี positive</t>
  </si>
  <si>
    <t>Main flow</t>
  </si>
  <si>
    <t>Step No.</t>
  </si>
  <si>
    <t>Description</t>
  </si>
  <si>
    <t>Input</t>
  </si>
  <si>
    <t>Expected Results</t>
  </si>
  <si>
    <t>Actual Results</t>
  </si>
  <si>
    <t>Status 
(Pass/Fail/No run)</t>
  </si>
  <si>
    <t>Remark/Defect ID</t>
  </si>
  <si>
    <t>Single Digit</t>
  </si>
  <si>
    <t>M</t>
  </si>
  <si>
    <t>Two Digits the first digit is smaller than the second digit</t>
  </si>
  <si>
    <t>IX</t>
  </si>
  <si>
    <t>Two Digits the first digit is larger than the second digit</t>
  </si>
  <si>
    <t>CI</t>
  </si>
  <si>
    <t>Two Digits same number</t>
  </si>
  <si>
    <t>XX</t>
  </si>
  <si>
    <t>DN02</t>
  </si>
  <si>
    <t>Multiple Digits same number</t>
  </si>
  <si>
    <t>MMM</t>
  </si>
  <si>
    <t>DN05</t>
  </si>
  <si>
    <t>Multiple Digits first digit is larger than the rest</t>
  </si>
  <si>
    <t>XXVII</t>
  </si>
  <si>
    <t>DN07</t>
  </si>
  <si>
    <t>Mutliple Digits first digit is largest number and the rest is the combination of (2), (3), (4)</t>
  </si>
  <si>
    <t>LXXXIV</t>
  </si>
  <si>
    <t>DN12</t>
  </si>
  <si>
    <t>Alternate flows:</t>
  </si>
  <si>
    <t xml:space="preserve">  </t>
  </si>
  <si>
    <t>การแปลงเลข roman เป็นเลขสากล กรณี negative</t>
  </si>
  <si>
    <t>Not roman numeral number</t>
  </si>
  <si>
    <t>K</t>
  </si>
  <si>
    <t>NullPointerException</t>
  </si>
  <si>
    <t>Using wrong repeating digits</t>
  </si>
  <si>
    <t>LL</t>
  </si>
  <si>
    <t>!=10</t>
  </si>
  <si>
    <t xml:space="preserve">Using more than three repeating roman numerals </t>
  </si>
  <si>
    <t>IIIII</t>
  </si>
  <si>
    <t>!=5</t>
  </si>
  <si>
    <t>Lowercase roman</t>
  </si>
  <si>
    <t>i</t>
  </si>
  <si>
    <t>empty input</t>
  </si>
  <si>
    <t>Test Case Design and Test Results</t>
  </si>
  <si>
    <t xml:space="preserve">Project Name: </t>
  </si>
  <si>
    <t>ConvertRomanNumToInt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</si>
  <si>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</si>
  <si>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</si>
  <si>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</si>
  <si>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</si>
  <si>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Case ID</t>
  </si>
  <si>
    <t>Expected Result</t>
  </si>
  <si>
    <t>Actual Result</t>
  </si>
  <si>
    <t>Status (Pass/Fail/No run)</t>
  </si>
  <si>
    <t>TC01</t>
  </si>
  <si>
    <t>I</t>
  </si>
  <si>
    <t>TC02</t>
  </si>
  <si>
    <t>V</t>
  </si>
  <si>
    <t>TC03</t>
  </si>
  <si>
    <t>L</t>
  </si>
  <si>
    <t>TC04</t>
  </si>
  <si>
    <t>D</t>
  </si>
  <si>
    <t>TC05</t>
  </si>
  <si>
    <t>TC06</t>
  </si>
  <si>
    <t>IV</t>
  </si>
  <si>
    <t>TC07</t>
  </si>
  <si>
    <t>TC08</t>
  </si>
  <si>
    <t>VI</t>
  </si>
  <si>
    <t>TC09</t>
  </si>
  <si>
    <t>TC10</t>
  </si>
  <si>
    <t>MI</t>
  </si>
  <si>
    <t>TC11</t>
  </si>
  <si>
    <t>II</t>
  </si>
  <si>
    <t>TC12</t>
  </si>
  <si>
    <t>TC13</t>
  </si>
  <si>
    <t>MM</t>
  </si>
  <si>
    <t>TC14</t>
  </si>
  <si>
    <t>III</t>
  </si>
  <si>
    <t>TC15</t>
  </si>
  <si>
    <t>TC16</t>
  </si>
  <si>
    <t>XXXVI</t>
  </si>
  <si>
    <t>TC17</t>
  </si>
  <si>
    <t>TC18</t>
  </si>
  <si>
    <t>LXVII</t>
  </si>
  <si>
    <t>TC19</t>
  </si>
  <si>
    <t>LXXIV</t>
  </si>
  <si>
    <t>TC20</t>
  </si>
  <si>
    <t>LXXVI</t>
  </si>
  <si>
    <t>TC21</t>
  </si>
  <si>
    <t>LXXVIII</t>
  </si>
  <si>
    <t>TC22</t>
  </si>
  <si>
    <t>TC23</t>
  </si>
  <si>
    <t>TC24</t>
  </si>
  <si>
    <t>TC25</t>
  </si>
  <si>
    <t>VV</t>
  </si>
  <si>
    <t>TC26</t>
  </si>
  <si>
    <t>!=100</t>
  </si>
  <si>
    <t>TC27</t>
  </si>
  <si>
    <t>XXXX</t>
  </si>
  <si>
    <t>!=40</t>
  </si>
  <si>
    <t>TC28</t>
  </si>
  <si>
    <t>TC29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</si>
  <si>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</si>
  <si>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</si>
  <si>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</si>
  <si>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</si>
  <si>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</si>
  <si>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</si>
  <si>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</si>
  <si>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</si>
  <si>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</si>
  <si>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</si>
  <si>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</si>
  <si>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DN01</t>
  </si>
  <si>
    <t>Incorrect Output of II</t>
  </si>
  <si>
    <t>เมื่อป้อนค่า II ควรได้ result 2 คืนจากระบบแต่ได้ 0 แทน</t>
  </si>
  <si>
    <t>Incorrect Output of XX</t>
  </si>
  <si>
    <t>เมื่อป้อนค่า XX ควรได้ result 20 คืนจากระบบแต่ได้ 0 แทน</t>
  </si>
  <si>
    <t>DN03</t>
  </si>
  <si>
    <t>Incorrect Output of MM</t>
  </si>
  <si>
    <t>เมื่อป้อนค่า MM ควรได้ result 2000 คืนจากระบบแต่ได้ 0 แทน</t>
  </si>
  <si>
    <t>DN04</t>
  </si>
  <si>
    <t>Incorrect Output of III</t>
  </si>
  <si>
    <t>เมื่อป้อนค่า III ควรได้ result 3 คืนจากระบบแต่ได้ -1 แทน</t>
  </si>
  <si>
    <t>Incorrect Output of MMM</t>
  </si>
  <si>
    <t>เมื่อป้อนค่า MMM ควรได้ result 3000 คืนจากระบบแต่ได้ -1000 แทน</t>
  </si>
  <si>
    <t>DN06</t>
  </si>
  <si>
    <t>Incorrect Output of XXXVI</t>
  </si>
  <si>
    <t>เมื่อป้อนค่า XXXVI ควรได้ result 26 คืนจากระบบแต่ได้ -4 แทน</t>
  </si>
  <si>
    <t>Incorrect Output of XXVII</t>
  </si>
  <si>
    <t>เมื่อป้อนค่า XXVII ควรได้ result 27 คืนจากระบบแต่ได้ 5 แทน</t>
  </si>
  <si>
    <t>DN08</t>
  </si>
  <si>
    <t>Incorrect Output of LXVII</t>
  </si>
  <si>
    <t>เมื่อป้อนค่า LXVII ควรได้ result 67 คืนจากระบบแต่ได้ 65 แทน</t>
  </si>
  <si>
    <t>DN09</t>
  </si>
  <si>
    <t>Incorrect Output of LXXIV</t>
  </si>
  <si>
    <t>เมื่อป้อนค่า LXXIV ควรได้ result 74 คืนจากระบบแต่ได้ 54 แทน</t>
  </si>
  <si>
    <t>DN10</t>
  </si>
  <si>
    <t>Incorrect Output of LXXVI</t>
  </si>
  <si>
    <t>เมื่อป้อนค่า LXXVI ควรได้ result 76 คืนจากระบบแต่ได้ 56 แทน</t>
  </si>
  <si>
    <t>DN11</t>
  </si>
  <si>
    <t>Incorrect Output of LXXVIII</t>
  </si>
  <si>
    <t>เมื่อป้อนค่า LXXVIII ควรได้ result 78 คืนจากระบบแต่ได้ 54 แทน</t>
  </si>
  <si>
    <t>Incorrect Output of LXXXIV</t>
  </si>
  <si>
    <t>เมื่อป้อนค่า LXXXIV ควรได้ result 84 คืนจากระบบแต่ได้ 44 แทน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</si>
</sst>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sz val="18.0"/>
      <color rgb="FF0563C1"/>
      <name val="TH Sarabun PSK"/>
    </font>
    <font/>
    <font>
      <u/>
      <sz val="18.0"/>
      <color theme="10"/>
      <name val="TH Sarabun PSK"/>
    </font>
    <font>
      <sz val="16.0"/>
      <color theme="1"/>
      <name val="TH Sarabun PSK"/>
    </font>
    <font>
      <sz val="11.0"/>
      <color theme="1"/>
      <name val="TH Sarabun PSK"/>
    </font>
    <font>
      <b/>
      <sz val="16.0"/>
      <color theme="1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0"/>
    </xf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2" fillId="2" fontId="8" numFmtId="0" xfId="0" applyAlignment="1" applyBorder="1" applyFont="1">
      <alignment horizontal="center"/>
    </xf>
    <xf borderId="1" fillId="0" fontId="8" numFmtId="0" xfId="0" applyAlignment="1" applyBorder="1" applyFont="1">
      <alignment horizontal="right"/>
    </xf>
    <xf borderId="2" fillId="0" fontId="1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center"/>
    </xf>
    <xf borderId="2" fillId="0" fontId="1" numFmtId="0" xfId="0" applyAlignment="1" applyBorder="1" applyFont="1">
      <alignment readingOrder="0" shrinkToFit="0" vertical="center" wrapText="1"/>
    </xf>
    <xf borderId="1" fillId="0" fontId="8" numFmtId="0" xfId="0" applyBorder="1" applyFont="1"/>
    <xf borderId="2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vertical="center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6" fillId="0" fontId="4" numFmtId="0" xfId="0" applyBorder="1" applyFont="1"/>
    <xf borderId="6" fillId="0" fontId="6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3.0"/>
    <col customWidth="1" min="3" max="3" width="49.57"/>
    <col customWidth="1" min="4" max="4" width="17.14"/>
    <col customWidth="1" min="5" max="8" width="9.14"/>
    <col customWidth="1" min="9" max="9" width="21.86"/>
    <col customWidth="1" min="10" max="26" width="9.14"/>
  </cols>
  <sheetData>
    <row r="1" ht="27.0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0" customHeight="1">
      <c r="A2" s="3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8"/>
      <c r="B3" s="8" t="s">
        <v>9</v>
      </c>
      <c r="C3" s="9" t="s">
        <v>10</v>
      </c>
      <c r="D3" s="10">
        <v>22.0</v>
      </c>
      <c r="E3" s="10">
        <v>10.0</v>
      </c>
      <c r="F3" s="10">
        <v>12.0</v>
      </c>
      <c r="G3" s="10">
        <v>0.0</v>
      </c>
      <c r="H3" s="10">
        <v>0.0</v>
      </c>
      <c r="I3" s="11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2"/>
      <c r="B4" s="10" t="s">
        <v>12</v>
      </c>
      <c r="C4" s="9" t="s">
        <v>13</v>
      </c>
      <c r="D4" s="10">
        <v>7.0</v>
      </c>
      <c r="E4" s="10">
        <v>7.0</v>
      </c>
      <c r="F4" s="10">
        <v>0.0</v>
      </c>
      <c r="G4" s="10">
        <v>0.0</v>
      </c>
      <c r="H4" s="10">
        <v>0.0</v>
      </c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2"/>
      <c r="B5" s="12"/>
      <c r="C5" s="13"/>
      <c r="D5" s="12"/>
      <c r="E5" s="12"/>
      <c r="F5" s="12"/>
      <c r="G5" s="12"/>
      <c r="H5" s="12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2"/>
      <c r="B6" s="12"/>
      <c r="C6" s="13"/>
      <c r="D6" s="12"/>
      <c r="E6" s="12"/>
      <c r="F6" s="12"/>
      <c r="G6" s="12"/>
      <c r="H6" s="12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2"/>
      <c r="B7" s="12"/>
      <c r="C7" s="13"/>
      <c r="D7" s="12"/>
      <c r="E7" s="12"/>
      <c r="F7" s="12"/>
      <c r="G7" s="12"/>
      <c r="H7" s="12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4" t="s">
        <v>14</v>
      </c>
      <c r="B8" s="15"/>
      <c r="C8" s="16"/>
      <c r="D8" s="10">
        <v>29.0</v>
      </c>
      <c r="E8" s="17">
        <v>17.0</v>
      </c>
      <c r="F8" s="18">
        <v>12.0</v>
      </c>
      <c r="G8" s="10">
        <v>0.0</v>
      </c>
      <c r="H8" s="10">
        <v>0.0</v>
      </c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20" t="s">
        <v>15</v>
      </c>
      <c r="B1" s="21" t="s">
        <v>16</v>
      </c>
      <c r="C1" s="20" t="s">
        <v>17</v>
      </c>
      <c r="D1" s="21" t="s">
        <v>18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0" t="s">
        <v>19</v>
      </c>
      <c r="B2" s="22" t="s">
        <v>10</v>
      </c>
      <c r="C2" s="20" t="s">
        <v>20</v>
      </c>
      <c r="D2" s="22" t="s">
        <v>21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22</v>
      </c>
      <c r="B3" s="22" t="s">
        <v>23</v>
      </c>
      <c r="C3" s="20" t="s">
        <v>24</v>
      </c>
      <c r="D3" s="21" t="s">
        <v>21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25</v>
      </c>
      <c r="B4" s="21"/>
      <c r="C4" s="20" t="s">
        <v>26</v>
      </c>
      <c r="D4" s="22" t="s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0" t="s">
        <v>28</v>
      </c>
      <c r="B5" s="23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0" t="s">
        <v>29</v>
      </c>
      <c r="B6" s="24" t="s">
        <v>30</v>
      </c>
      <c r="C6" s="15"/>
      <c r="D6" s="1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5" t="s">
        <v>31</v>
      </c>
      <c r="B7" s="15"/>
      <c r="C7" s="15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 t="s">
        <v>32</v>
      </c>
      <c r="B8" s="26" t="s">
        <v>33</v>
      </c>
      <c r="C8" s="26" t="s">
        <v>34</v>
      </c>
      <c r="D8" s="26" t="s">
        <v>35</v>
      </c>
      <c r="E8" s="3" t="s">
        <v>36</v>
      </c>
      <c r="F8" s="3" t="s">
        <v>37</v>
      </c>
      <c r="G8" s="3" t="s">
        <v>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7">
        <v>1.0</v>
      </c>
      <c r="B9" s="28" t="s">
        <v>39</v>
      </c>
      <c r="C9" s="27" t="s">
        <v>40</v>
      </c>
      <c r="D9" s="27">
        <v>1000.0</v>
      </c>
      <c r="E9" s="27">
        <v>1000.0</v>
      </c>
      <c r="F9" s="12" t="str">
        <f t="shared" ref="F9:F15" si="1">IF(D9=E9, "Pass", "Fail")</f>
        <v>Pass</v>
      </c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7">
        <v>2.0</v>
      </c>
      <c r="B10" s="28" t="s">
        <v>41</v>
      </c>
      <c r="C10" s="27" t="s">
        <v>42</v>
      </c>
      <c r="D10" s="27">
        <v>9.0</v>
      </c>
      <c r="E10" s="27">
        <v>9.0</v>
      </c>
      <c r="F10" s="12" t="str">
        <f t="shared" si="1"/>
        <v>Pass</v>
      </c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7">
        <v>3.0</v>
      </c>
      <c r="B11" s="28" t="s">
        <v>43</v>
      </c>
      <c r="C11" s="27" t="s">
        <v>44</v>
      </c>
      <c r="D11" s="27">
        <v>101.0</v>
      </c>
      <c r="E11" s="27">
        <v>101.0</v>
      </c>
      <c r="F11" s="12" t="str">
        <f t="shared" si="1"/>
        <v>Pass</v>
      </c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7">
        <v>4.0</v>
      </c>
      <c r="B12" s="28" t="s">
        <v>45</v>
      </c>
      <c r="C12" s="27" t="s">
        <v>46</v>
      </c>
      <c r="D12" s="27">
        <v>20.0</v>
      </c>
      <c r="E12" s="27">
        <v>0.0</v>
      </c>
      <c r="F12" s="12" t="str">
        <f t="shared" si="1"/>
        <v>Fail</v>
      </c>
      <c r="G12" s="27" t="s">
        <v>47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7">
        <v>5.0</v>
      </c>
      <c r="B13" s="28" t="s">
        <v>48</v>
      </c>
      <c r="C13" s="27" t="s">
        <v>49</v>
      </c>
      <c r="D13" s="27">
        <v>3000.0</v>
      </c>
      <c r="E13" s="27">
        <v>-1000.0</v>
      </c>
      <c r="F13" s="12" t="str">
        <f t="shared" si="1"/>
        <v>Fail</v>
      </c>
      <c r="G13" s="27" t="s">
        <v>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7">
        <v>6.0</v>
      </c>
      <c r="B14" s="28" t="s">
        <v>51</v>
      </c>
      <c r="C14" s="27" t="s">
        <v>52</v>
      </c>
      <c r="D14" s="27">
        <v>27.0</v>
      </c>
      <c r="E14" s="27">
        <v>5.0</v>
      </c>
      <c r="F14" s="12" t="str">
        <f t="shared" si="1"/>
        <v>Fail</v>
      </c>
      <c r="G14" s="27" t="s">
        <v>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27">
        <v>7.0</v>
      </c>
      <c r="B15" s="28" t="s">
        <v>54</v>
      </c>
      <c r="C15" s="27" t="s">
        <v>55</v>
      </c>
      <c r="D15" s="27">
        <v>84.0</v>
      </c>
      <c r="E15" s="27">
        <v>44.0</v>
      </c>
      <c r="F15" s="12" t="str">
        <f t="shared" si="1"/>
        <v>Fail</v>
      </c>
      <c r="G15" s="27" t="s">
        <v>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29" t="s">
        <v>57</v>
      </c>
      <c r="B16" s="30"/>
      <c r="C16" s="15"/>
      <c r="D16" s="1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31" t="s">
        <v>58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B5:D5"/>
    <mergeCell ref="B6:D6"/>
    <mergeCell ref="A7:D7"/>
    <mergeCell ref="B16:D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35.0"/>
    <col customWidth="1" min="3" max="3" width="24.86"/>
    <col customWidth="1" min="4" max="4" width="35.14"/>
    <col customWidth="1" min="5" max="5" width="34.14"/>
    <col customWidth="1" min="6" max="6" width="25.0"/>
    <col customWidth="1" min="7" max="7" width="27.0"/>
    <col customWidth="1" min="8" max="26" width="10.71"/>
  </cols>
  <sheetData>
    <row r="1" ht="27.0" customHeight="1">
      <c r="A1" s="20" t="s">
        <v>15</v>
      </c>
      <c r="B1" s="21" t="s">
        <v>16</v>
      </c>
      <c r="C1" s="20" t="s">
        <v>17</v>
      </c>
      <c r="D1" s="21" t="s">
        <v>18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0" t="s">
        <v>19</v>
      </c>
      <c r="B2" s="22" t="s">
        <v>13</v>
      </c>
      <c r="C2" s="20" t="s">
        <v>20</v>
      </c>
      <c r="D2" s="22" t="s">
        <v>21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22</v>
      </c>
      <c r="B3" s="22" t="s">
        <v>23</v>
      </c>
      <c r="C3" s="20" t="s">
        <v>24</v>
      </c>
      <c r="D3" s="21" t="s">
        <v>21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25</v>
      </c>
      <c r="B4" s="21"/>
      <c r="C4" s="20" t="s">
        <v>26</v>
      </c>
      <c r="D4" s="22" t="s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0" t="s">
        <v>28</v>
      </c>
      <c r="B5" s="23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20" t="s">
        <v>29</v>
      </c>
      <c r="B6" s="24" t="s">
        <v>59</v>
      </c>
      <c r="C6" s="15"/>
      <c r="D6" s="1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25" t="s">
        <v>31</v>
      </c>
      <c r="B7" s="15"/>
      <c r="C7" s="15"/>
      <c r="D7" s="1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6" t="s">
        <v>32</v>
      </c>
      <c r="B8" s="26" t="s">
        <v>33</v>
      </c>
      <c r="C8" s="26" t="s">
        <v>34</v>
      </c>
      <c r="D8" s="26" t="s">
        <v>35</v>
      </c>
      <c r="E8" s="3" t="s">
        <v>36</v>
      </c>
      <c r="F8" s="3" t="s">
        <v>37</v>
      </c>
      <c r="G8" s="3" t="s">
        <v>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27">
        <v>1.0</v>
      </c>
      <c r="B9" s="28" t="s">
        <v>60</v>
      </c>
      <c r="C9" s="27" t="s">
        <v>61</v>
      </c>
      <c r="D9" s="27" t="s">
        <v>62</v>
      </c>
      <c r="E9" s="27" t="s">
        <v>62</v>
      </c>
      <c r="F9" s="12" t="str">
        <f t="shared" ref="F9:F13" si="1">IF(D9=E9, "Pass", "Fail")</f>
        <v>Pass</v>
      </c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27">
        <v>2.0</v>
      </c>
      <c r="B10" s="28" t="s">
        <v>63</v>
      </c>
      <c r="C10" s="27" t="s">
        <v>64</v>
      </c>
      <c r="D10" s="27" t="s">
        <v>65</v>
      </c>
      <c r="E10" s="27" t="s">
        <v>65</v>
      </c>
      <c r="F10" s="12" t="str">
        <f t="shared" si="1"/>
        <v>Pass</v>
      </c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7">
        <v>3.0</v>
      </c>
      <c r="B11" s="28" t="s">
        <v>66</v>
      </c>
      <c r="C11" s="27" t="s">
        <v>67</v>
      </c>
      <c r="D11" s="27" t="s">
        <v>68</v>
      </c>
      <c r="E11" s="27" t="s">
        <v>68</v>
      </c>
      <c r="F11" s="12" t="str">
        <f t="shared" si="1"/>
        <v>Pass</v>
      </c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27">
        <v>4.0</v>
      </c>
      <c r="B12" s="28" t="s">
        <v>69</v>
      </c>
      <c r="C12" s="27" t="s">
        <v>70</v>
      </c>
      <c r="D12" s="27" t="s">
        <v>62</v>
      </c>
      <c r="E12" s="27" t="s">
        <v>62</v>
      </c>
      <c r="F12" s="12" t="str">
        <f t="shared" si="1"/>
        <v>Pass</v>
      </c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27">
        <v>5.0</v>
      </c>
      <c r="B13" s="28" t="s">
        <v>71</v>
      </c>
      <c r="C13" s="12"/>
      <c r="D13" s="27">
        <v>0.0</v>
      </c>
      <c r="E13" s="27">
        <v>0.0</v>
      </c>
      <c r="F13" s="12" t="str">
        <f t="shared" si="1"/>
        <v>Pass</v>
      </c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29" t="s">
        <v>57</v>
      </c>
      <c r="B14" s="30"/>
      <c r="C14" s="15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4">
    <mergeCell ref="B5:D5"/>
    <mergeCell ref="B6:D6"/>
    <mergeCell ref="A7:D7"/>
    <mergeCell ref="B14:D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43"/>
    <col customWidth="1" min="3" max="3" width="12.86"/>
    <col customWidth="1" min="4" max="4" width="19.0"/>
    <col customWidth="1" min="5" max="5" width="21.86"/>
    <col customWidth="1" min="6" max="6" width="23.14"/>
    <col customWidth="1" min="7" max="26" width="10.71"/>
  </cols>
  <sheetData>
    <row r="1" ht="16.5" customHeight="1">
      <c r="A1" s="32"/>
      <c r="B1" s="32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6.5" customHeight="1">
      <c r="A2" s="34" t="s">
        <v>72</v>
      </c>
      <c r="B2" s="15"/>
      <c r="C2" s="15"/>
      <c r="D2" s="15"/>
      <c r="E2" s="15"/>
      <c r="F2" s="16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6.5" customHeight="1">
      <c r="A3" s="32"/>
      <c r="B3" s="32"/>
      <c r="C3" s="32"/>
      <c r="D3" s="32"/>
      <c r="E3" s="32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6.5" customHeight="1">
      <c r="A4" s="35" t="s">
        <v>73</v>
      </c>
      <c r="B4" s="36" t="s">
        <v>74</v>
      </c>
      <c r="C4" s="16"/>
      <c r="D4" s="35" t="s">
        <v>75</v>
      </c>
      <c r="E4" s="23" t="s">
        <v>18</v>
      </c>
      <c r="F4" s="16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6.5" customHeight="1">
      <c r="A5" s="35" t="s">
        <v>76</v>
      </c>
      <c r="B5" s="37"/>
      <c r="C5" s="15"/>
      <c r="D5" s="35" t="s">
        <v>77</v>
      </c>
      <c r="E5" s="38" t="s">
        <v>23</v>
      </c>
      <c r="F5" s="16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6.5" customHeight="1">
      <c r="A6" s="39" t="s">
        <v>78</v>
      </c>
      <c r="B6" s="40"/>
      <c r="C6" s="15"/>
      <c r="D6" s="15"/>
      <c r="E6" s="15"/>
      <c r="F6" s="16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6.5" customHeight="1">
      <c r="A7" s="32"/>
      <c r="B7" s="32"/>
      <c r="C7" s="32"/>
      <c r="D7" s="32"/>
      <c r="E7" s="32"/>
      <c r="F7" s="3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6.5" customHeight="1">
      <c r="A8" s="41" t="s">
        <v>1</v>
      </c>
      <c r="B8" s="41" t="s">
        <v>79</v>
      </c>
      <c r="C8" s="41" t="s">
        <v>34</v>
      </c>
      <c r="D8" s="41" t="s">
        <v>80</v>
      </c>
      <c r="E8" s="41" t="s">
        <v>81</v>
      </c>
      <c r="F8" s="42" t="s">
        <v>82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6.5" customHeight="1">
      <c r="A9" s="43" t="s">
        <v>9</v>
      </c>
      <c r="B9" s="44" t="s">
        <v>83</v>
      </c>
      <c r="C9" s="45" t="s">
        <v>84</v>
      </c>
      <c r="D9" s="45">
        <v>1.0</v>
      </c>
      <c r="E9" s="45">
        <v>1.0</v>
      </c>
      <c r="F9" s="45" t="str">
        <f t="shared" ref="F9:F37" si="1">IF(D9=E9, "Pass", "Fail")</f>
        <v>Pass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6.5" customHeight="1">
      <c r="A10" s="46"/>
      <c r="B10" s="44" t="s">
        <v>85</v>
      </c>
      <c r="C10" s="45" t="s">
        <v>86</v>
      </c>
      <c r="D10" s="45">
        <v>5.0</v>
      </c>
      <c r="E10" s="45">
        <v>5.0</v>
      </c>
      <c r="F10" s="45" t="str">
        <f t="shared" si="1"/>
        <v>Pass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6.5" customHeight="1">
      <c r="A11" s="46"/>
      <c r="B11" s="45" t="s">
        <v>87</v>
      </c>
      <c r="C11" s="45" t="s">
        <v>88</v>
      </c>
      <c r="D11" s="45">
        <v>50.0</v>
      </c>
      <c r="E11" s="45">
        <v>50.0</v>
      </c>
      <c r="F11" s="45" t="str">
        <f t="shared" si="1"/>
        <v>Pass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6.5" customHeight="1">
      <c r="A12" s="46"/>
      <c r="B12" s="45" t="s">
        <v>89</v>
      </c>
      <c r="C12" s="45" t="s">
        <v>90</v>
      </c>
      <c r="D12" s="45">
        <v>500.0</v>
      </c>
      <c r="E12" s="45">
        <v>500.0</v>
      </c>
      <c r="F12" s="45" t="str">
        <f t="shared" si="1"/>
        <v>Pass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6.5" customHeight="1">
      <c r="A13" s="46"/>
      <c r="B13" s="44" t="s">
        <v>91</v>
      </c>
      <c r="C13" s="45" t="s">
        <v>40</v>
      </c>
      <c r="D13" s="45">
        <v>1000.0</v>
      </c>
      <c r="E13" s="45">
        <v>1000.0</v>
      </c>
      <c r="F13" s="45" t="str">
        <f t="shared" si="1"/>
        <v>Pass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6.5" customHeight="1">
      <c r="A14" s="46"/>
      <c r="B14" s="44" t="s">
        <v>92</v>
      </c>
      <c r="C14" s="45" t="s">
        <v>93</v>
      </c>
      <c r="D14" s="45">
        <v>4.0</v>
      </c>
      <c r="E14" s="45">
        <v>4.0</v>
      </c>
      <c r="F14" s="45" t="str">
        <f t="shared" si="1"/>
        <v>Pass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6.5" customHeight="1">
      <c r="A15" s="46"/>
      <c r="B15" s="45" t="s">
        <v>94</v>
      </c>
      <c r="C15" s="45" t="s">
        <v>42</v>
      </c>
      <c r="D15" s="45">
        <v>9.0</v>
      </c>
      <c r="E15" s="45">
        <v>9.0</v>
      </c>
      <c r="F15" s="45" t="str">
        <f t="shared" si="1"/>
        <v>Pass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6.5" customHeight="1">
      <c r="A16" s="46"/>
      <c r="B16" s="45" t="s">
        <v>95</v>
      </c>
      <c r="C16" s="45" t="s">
        <v>96</v>
      </c>
      <c r="D16" s="45">
        <v>6.0</v>
      </c>
      <c r="E16" s="45">
        <v>6.0</v>
      </c>
      <c r="F16" s="45" t="str">
        <f t="shared" si="1"/>
        <v>Pass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6.5" customHeight="1">
      <c r="A17" s="46"/>
      <c r="B17" s="44" t="s">
        <v>97</v>
      </c>
      <c r="C17" s="45" t="s">
        <v>44</v>
      </c>
      <c r="D17" s="45">
        <v>101.0</v>
      </c>
      <c r="E17" s="45">
        <v>101.0</v>
      </c>
      <c r="F17" s="45" t="str">
        <f t="shared" si="1"/>
        <v>Pass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6.5" customHeight="1">
      <c r="A18" s="46"/>
      <c r="B18" s="44" t="s">
        <v>98</v>
      </c>
      <c r="C18" s="45" t="s">
        <v>99</v>
      </c>
      <c r="D18" s="45">
        <v>1001.0</v>
      </c>
      <c r="E18" s="45">
        <v>1001.0</v>
      </c>
      <c r="F18" s="45" t="str">
        <f t="shared" si="1"/>
        <v>Pass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6.5" customHeight="1">
      <c r="A19" s="46"/>
      <c r="B19" s="45" t="s">
        <v>100</v>
      </c>
      <c r="C19" s="45" t="s">
        <v>101</v>
      </c>
      <c r="D19" s="45">
        <v>2.0</v>
      </c>
      <c r="E19" s="45">
        <v>0.0</v>
      </c>
      <c r="F19" s="45" t="str">
        <f t="shared" si="1"/>
        <v>Fail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6.5" customHeight="1">
      <c r="A20" s="46"/>
      <c r="B20" s="45" t="s">
        <v>102</v>
      </c>
      <c r="C20" s="45" t="s">
        <v>46</v>
      </c>
      <c r="D20" s="45">
        <v>20.0</v>
      </c>
      <c r="E20" s="45">
        <v>0.0</v>
      </c>
      <c r="F20" s="45" t="str">
        <f t="shared" si="1"/>
        <v>Fail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6.5" customHeight="1">
      <c r="A21" s="46"/>
      <c r="B21" s="44" t="s">
        <v>103</v>
      </c>
      <c r="C21" s="45" t="s">
        <v>104</v>
      </c>
      <c r="D21" s="45">
        <v>2000.0</v>
      </c>
      <c r="E21" s="45">
        <v>0.0</v>
      </c>
      <c r="F21" s="45" t="str">
        <f t="shared" si="1"/>
        <v>Fail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6.5" customHeight="1">
      <c r="A22" s="46"/>
      <c r="B22" s="44" t="s">
        <v>105</v>
      </c>
      <c r="C22" s="45" t="s">
        <v>106</v>
      </c>
      <c r="D22" s="45">
        <v>3.0</v>
      </c>
      <c r="E22" s="45">
        <v>-1.0</v>
      </c>
      <c r="F22" s="45" t="str">
        <f t="shared" si="1"/>
        <v>Fail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6.5" customHeight="1">
      <c r="A23" s="46"/>
      <c r="B23" s="45" t="s">
        <v>107</v>
      </c>
      <c r="C23" s="45" t="s">
        <v>49</v>
      </c>
      <c r="D23" s="45">
        <v>3000.0</v>
      </c>
      <c r="E23" s="45">
        <v>-1000.0</v>
      </c>
      <c r="F23" s="45" t="str">
        <f t="shared" si="1"/>
        <v>Fail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6.5" customHeight="1">
      <c r="A24" s="46"/>
      <c r="B24" s="45" t="s">
        <v>108</v>
      </c>
      <c r="C24" s="45" t="s">
        <v>109</v>
      </c>
      <c r="D24" s="45">
        <v>26.0</v>
      </c>
      <c r="E24" s="45">
        <v>-4.0</v>
      </c>
      <c r="F24" s="45" t="str">
        <f t="shared" si="1"/>
        <v>Fail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6.5" customHeight="1">
      <c r="A25" s="46"/>
      <c r="B25" s="44" t="s">
        <v>110</v>
      </c>
      <c r="C25" s="45" t="s">
        <v>52</v>
      </c>
      <c r="D25" s="45">
        <v>27.0</v>
      </c>
      <c r="E25" s="45">
        <v>5.0</v>
      </c>
      <c r="F25" s="45" t="str">
        <f t="shared" si="1"/>
        <v>Fail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6.5" customHeight="1">
      <c r="A26" s="46"/>
      <c r="B26" s="44" t="s">
        <v>111</v>
      </c>
      <c r="C26" s="45" t="s">
        <v>112</v>
      </c>
      <c r="D26" s="45">
        <v>67.0</v>
      </c>
      <c r="E26" s="45">
        <v>65.0</v>
      </c>
      <c r="F26" s="45" t="str">
        <f t="shared" si="1"/>
        <v>Fail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6.5" customHeight="1">
      <c r="A27" s="46"/>
      <c r="B27" s="45" t="s">
        <v>113</v>
      </c>
      <c r="C27" s="45" t="s">
        <v>114</v>
      </c>
      <c r="D27" s="45">
        <v>74.0</v>
      </c>
      <c r="E27" s="45">
        <v>54.0</v>
      </c>
      <c r="F27" s="45" t="str">
        <f t="shared" si="1"/>
        <v>Fail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6.5" customHeight="1">
      <c r="A28" s="46"/>
      <c r="B28" s="45" t="s">
        <v>115</v>
      </c>
      <c r="C28" s="45" t="s">
        <v>116</v>
      </c>
      <c r="D28" s="45">
        <v>76.0</v>
      </c>
      <c r="E28" s="45">
        <v>56.0</v>
      </c>
      <c r="F28" s="45" t="str">
        <f t="shared" si="1"/>
        <v>Fail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6.5" customHeight="1">
      <c r="A29" s="46"/>
      <c r="B29" s="45" t="s">
        <v>117</v>
      </c>
      <c r="C29" s="45" t="s">
        <v>118</v>
      </c>
      <c r="D29" s="45">
        <v>78.0</v>
      </c>
      <c r="E29" s="45">
        <v>54.0</v>
      </c>
      <c r="F29" s="45" t="str">
        <f t="shared" si="1"/>
        <v>Fail</v>
      </c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6.5" customHeight="1">
      <c r="A30" s="46"/>
      <c r="B30" s="45" t="s">
        <v>119</v>
      </c>
      <c r="C30" s="45" t="s">
        <v>55</v>
      </c>
      <c r="D30" s="45">
        <v>84.0</v>
      </c>
      <c r="E30" s="45">
        <v>44.0</v>
      </c>
      <c r="F30" s="45" t="str">
        <f t="shared" si="1"/>
        <v>Fail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6.5" customHeight="1">
      <c r="A31" s="47" t="s">
        <v>12</v>
      </c>
      <c r="B31" s="44" t="s">
        <v>120</v>
      </c>
      <c r="C31" s="45" t="s">
        <v>61</v>
      </c>
      <c r="D31" s="45" t="s">
        <v>62</v>
      </c>
      <c r="E31" s="45" t="s">
        <v>62</v>
      </c>
      <c r="F31" s="45" t="str">
        <f t="shared" si="1"/>
        <v>Pass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6.5" customHeight="1">
      <c r="A32" s="46"/>
      <c r="B32" s="44" t="s">
        <v>121</v>
      </c>
      <c r="C32" s="45" t="s">
        <v>70</v>
      </c>
      <c r="D32" s="45" t="s">
        <v>62</v>
      </c>
      <c r="E32" s="45" t="s">
        <v>62</v>
      </c>
      <c r="F32" s="45" t="str">
        <f t="shared" si="1"/>
        <v>Pass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6.5" customHeight="1">
      <c r="A33" s="46"/>
      <c r="B33" s="45" t="s">
        <v>122</v>
      </c>
      <c r="C33" s="45" t="s">
        <v>123</v>
      </c>
      <c r="D33" s="45" t="s">
        <v>65</v>
      </c>
      <c r="E33" s="45" t="s">
        <v>65</v>
      </c>
      <c r="F33" s="45" t="str">
        <f t="shared" si="1"/>
        <v>Pass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6.5" customHeight="1">
      <c r="A34" s="46"/>
      <c r="B34" s="44" t="s">
        <v>124</v>
      </c>
      <c r="C34" s="45" t="s">
        <v>64</v>
      </c>
      <c r="D34" s="45" t="s">
        <v>125</v>
      </c>
      <c r="E34" s="45" t="s">
        <v>125</v>
      </c>
      <c r="F34" s="45" t="str">
        <f t="shared" si="1"/>
        <v>Pass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6.5" customHeight="1">
      <c r="A35" s="46"/>
      <c r="B35" s="44" t="s">
        <v>126</v>
      </c>
      <c r="C35" s="45" t="s">
        <v>127</v>
      </c>
      <c r="D35" s="45" t="s">
        <v>128</v>
      </c>
      <c r="E35" s="45" t="s">
        <v>128</v>
      </c>
      <c r="F35" s="45" t="str">
        <f t="shared" si="1"/>
        <v>Pass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6.5" customHeight="1">
      <c r="A36" s="46"/>
      <c r="B36" s="45" t="s">
        <v>129</v>
      </c>
      <c r="C36" s="45" t="s">
        <v>67</v>
      </c>
      <c r="D36" s="45" t="s">
        <v>68</v>
      </c>
      <c r="E36" s="45" t="s">
        <v>68</v>
      </c>
      <c r="F36" s="45" t="str">
        <f t="shared" si="1"/>
        <v>Pass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6.5" customHeight="1">
      <c r="A37" s="46"/>
      <c r="B37" s="44" t="s">
        <v>130</v>
      </c>
      <c r="C37" s="45"/>
      <c r="D37" s="45">
        <v>0.0</v>
      </c>
      <c r="E37" s="45">
        <v>0.0</v>
      </c>
      <c r="F37" s="45" t="str">
        <f t="shared" si="1"/>
        <v>Pass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6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6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6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6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6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6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6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6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6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6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6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6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6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6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6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6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6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6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6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6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6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6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6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6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6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6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6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6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6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6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6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6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6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6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6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6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6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6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6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6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6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6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6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6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6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6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6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6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6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6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6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6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6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6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6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6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6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6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6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6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6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6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6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6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6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6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6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6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6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6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6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6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6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6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6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6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6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6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6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6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6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6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6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6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6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6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6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6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6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6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6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6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6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6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6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6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6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6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6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6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6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6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6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6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6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6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6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6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6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6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6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6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6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6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6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6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6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6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6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6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6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6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6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6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6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6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6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6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6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6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6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6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6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6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6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6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6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6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6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6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6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6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6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6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6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6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6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6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6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6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6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6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6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6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6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6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6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6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6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6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6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6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6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6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6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6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6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6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6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6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6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6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6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6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6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6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6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6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6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6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6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6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6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6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6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6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6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6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6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6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6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6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6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6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6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6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6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6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6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6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6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6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6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6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6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6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6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6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6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6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6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6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6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6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6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6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6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6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6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6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6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6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6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6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6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6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6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6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6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6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6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6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6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6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6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6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6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6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6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6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6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6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6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6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6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6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6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6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6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6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6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6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6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6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6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6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6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6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6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6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6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6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6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6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6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6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6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6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6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6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6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6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6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6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6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6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6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6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6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6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6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6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6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6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6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6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6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6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6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6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6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6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6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6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6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6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6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6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6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6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6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6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6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6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6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6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6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6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6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6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6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6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6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6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6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6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6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6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6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6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6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6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6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6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6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6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6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6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6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6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6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6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6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6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6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6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6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6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6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6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6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6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6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6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6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6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6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6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6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6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6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6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6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6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6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6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6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6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6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6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6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6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6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6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6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6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6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6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6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6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6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6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6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6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6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6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6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6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6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6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6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6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6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6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6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6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6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6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6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6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6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6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6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6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6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6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6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6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6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6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6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6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6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6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6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6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6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6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6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6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6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6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6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6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6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6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6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6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6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6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6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6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6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6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6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6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6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6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6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6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6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6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6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6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6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6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6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6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6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6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6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6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6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6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6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6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6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6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6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6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6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6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6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6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6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6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6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6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6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6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6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6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6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6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6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6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6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6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6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6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6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6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6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6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6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6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6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6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6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6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6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6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6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6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6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6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6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6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6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6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6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6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6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6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6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6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6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6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6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6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6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6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6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6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6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6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6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6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6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6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6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6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6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6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6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6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6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6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6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6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6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6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6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6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6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6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6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6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6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6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6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6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6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6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6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6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6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6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6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6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6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6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6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6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6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6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6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6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6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6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6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6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6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6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6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6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6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6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6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6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6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6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6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6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6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6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6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6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6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6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6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6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6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6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6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6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6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6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6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6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6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6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6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6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6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6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6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6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6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6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6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6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6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6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6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6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6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6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6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6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6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6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6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6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6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6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6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6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6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6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6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6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6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6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6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6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6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6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6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6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6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6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6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6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6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6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6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6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6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6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6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6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6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6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6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6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6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6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6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6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6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6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6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6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6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6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6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6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6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6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6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6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6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6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6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6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6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6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6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6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6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6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6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6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6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6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6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6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6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6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6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6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6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6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6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6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6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6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6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6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6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6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6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6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6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6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6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6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6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6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6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6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6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6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6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6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6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6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6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6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6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6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6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6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6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6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6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6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6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6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6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6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6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6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6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6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6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6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6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6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6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6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6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6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6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6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6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6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6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6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6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6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6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6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6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6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6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6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6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6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6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6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6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6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6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6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6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6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6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6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6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6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6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6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6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6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6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6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6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6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6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6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6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6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6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6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6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6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6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6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6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6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6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6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6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6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6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6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6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6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6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6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6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6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6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6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6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6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6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6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6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6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6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6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6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6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6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6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6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6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6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6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6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6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6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6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6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6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6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6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6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6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6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6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6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6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6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6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6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6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6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6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6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6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6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6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6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6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6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6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6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6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6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6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6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6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6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6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6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6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6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6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6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6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6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6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6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6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6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6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6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6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6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6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6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6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6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6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6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6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6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6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6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6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6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6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6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6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6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6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6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6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6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6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6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6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6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6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6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6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6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6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6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6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6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6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6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6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6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6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6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6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6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6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6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6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6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6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6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6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6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6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6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6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6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6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6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6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6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6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6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6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6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6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6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6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6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6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6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6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6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6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6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6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6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6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6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6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6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6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6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6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6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6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6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6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6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6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6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6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6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6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6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6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6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6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6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6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6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6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6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6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6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6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6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6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6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6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8">
    <mergeCell ref="A2:F2"/>
    <mergeCell ref="B4:C4"/>
    <mergeCell ref="E4:F4"/>
    <mergeCell ref="B5:C5"/>
    <mergeCell ref="E5:F5"/>
    <mergeCell ref="B6:F6"/>
    <mergeCell ref="A9:A30"/>
    <mergeCell ref="A31:A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41.57"/>
    <col customWidth="1" min="4" max="4" width="30.71"/>
    <col customWidth="1" min="5" max="5" width="10.86"/>
    <col customWidth="1" min="6" max="6" width="33.29"/>
    <col customWidth="1" min="7" max="10" width="10.86"/>
    <col customWidth="1" min="11" max="11" width="73.57"/>
    <col customWidth="1" min="12" max="26" width="10.7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48" t="s">
        <v>131</v>
      </c>
      <c r="B2" s="48" t="s">
        <v>132</v>
      </c>
      <c r="C2" s="48" t="s">
        <v>133</v>
      </c>
      <c r="D2" s="49" t="s">
        <v>134</v>
      </c>
      <c r="E2" s="48" t="s">
        <v>135</v>
      </c>
      <c r="F2" s="48" t="s">
        <v>136</v>
      </c>
      <c r="G2" s="48" t="s">
        <v>137</v>
      </c>
      <c r="H2" s="48" t="s">
        <v>138</v>
      </c>
      <c r="I2" s="48" t="s">
        <v>139</v>
      </c>
      <c r="J2" s="48" t="s">
        <v>140</v>
      </c>
      <c r="K2" s="48" t="s">
        <v>141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50">
        <v>1.0</v>
      </c>
      <c r="B3" s="51" t="s">
        <v>142</v>
      </c>
      <c r="C3" s="51" t="s">
        <v>143</v>
      </c>
      <c r="D3" s="22" t="s">
        <v>27</v>
      </c>
      <c r="E3" s="50"/>
      <c r="F3" s="22" t="s">
        <v>23</v>
      </c>
      <c r="G3" s="50"/>
      <c r="H3" s="50"/>
      <c r="I3" s="50"/>
      <c r="J3" s="50"/>
      <c r="K3" s="52" t="s">
        <v>144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51">
        <v>2.0</v>
      </c>
      <c r="B4" s="51" t="s">
        <v>47</v>
      </c>
      <c r="C4" s="51" t="s">
        <v>145</v>
      </c>
      <c r="D4" s="22" t="s">
        <v>27</v>
      </c>
      <c r="E4" s="50"/>
      <c r="F4" s="22" t="s">
        <v>23</v>
      </c>
      <c r="G4" s="50"/>
      <c r="H4" s="50"/>
      <c r="I4" s="50"/>
      <c r="J4" s="50"/>
      <c r="K4" s="52" t="s">
        <v>146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51">
        <v>3.0</v>
      </c>
      <c r="B5" s="51" t="s">
        <v>147</v>
      </c>
      <c r="C5" s="51" t="s">
        <v>148</v>
      </c>
      <c r="D5" s="22" t="s">
        <v>27</v>
      </c>
      <c r="E5" s="50"/>
      <c r="F5" s="22" t="s">
        <v>23</v>
      </c>
      <c r="G5" s="50"/>
      <c r="H5" s="50"/>
      <c r="I5" s="50"/>
      <c r="J5" s="50"/>
      <c r="K5" s="52" t="s">
        <v>149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51">
        <v>4.0</v>
      </c>
      <c r="B6" s="51" t="s">
        <v>150</v>
      </c>
      <c r="C6" s="51" t="s">
        <v>151</v>
      </c>
      <c r="D6" s="22" t="s">
        <v>27</v>
      </c>
      <c r="E6" s="50"/>
      <c r="F6" s="22" t="s">
        <v>23</v>
      </c>
      <c r="G6" s="50"/>
      <c r="H6" s="50"/>
      <c r="I6" s="50"/>
      <c r="J6" s="50"/>
      <c r="K6" s="52" t="s">
        <v>152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50">
        <v>5.0</v>
      </c>
      <c r="B7" s="51" t="s">
        <v>50</v>
      </c>
      <c r="C7" s="51" t="s">
        <v>153</v>
      </c>
      <c r="D7" s="22" t="s">
        <v>27</v>
      </c>
      <c r="E7" s="50"/>
      <c r="F7" s="22" t="s">
        <v>23</v>
      </c>
      <c r="G7" s="50"/>
      <c r="H7" s="50"/>
      <c r="I7" s="50"/>
      <c r="J7" s="50"/>
      <c r="K7" s="52" t="s">
        <v>154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51">
        <v>6.0</v>
      </c>
      <c r="B8" s="51" t="s">
        <v>155</v>
      </c>
      <c r="C8" s="51" t="s">
        <v>156</v>
      </c>
      <c r="D8" s="22" t="s">
        <v>27</v>
      </c>
      <c r="E8" s="50"/>
      <c r="F8" s="22" t="s">
        <v>23</v>
      </c>
      <c r="G8" s="50"/>
      <c r="H8" s="50"/>
      <c r="I8" s="50"/>
      <c r="J8" s="50"/>
      <c r="K8" s="52" t="s">
        <v>157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51">
        <v>7.0</v>
      </c>
      <c r="B9" s="51" t="s">
        <v>53</v>
      </c>
      <c r="C9" s="51" t="s">
        <v>158</v>
      </c>
      <c r="D9" s="22" t="s">
        <v>27</v>
      </c>
      <c r="E9" s="50"/>
      <c r="F9" s="22" t="s">
        <v>23</v>
      </c>
      <c r="G9" s="50"/>
      <c r="H9" s="50"/>
      <c r="I9" s="50"/>
      <c r="J9" s="50"/>
      <c r="K9" s="52" t="s">
        <v>159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51">
        <v>8.0</v>
      </c>
      <c r="B10" s="51" t="s">
        <v>160</v>
      </c>
      <c r="C10" s="51" t="s">
        <v>161</v>
      </c>
      <c r="D10" s="22" t="s">
        <v>27</v>
      </c>
      <c r="E10" s="50"/>
      <c r="F10" s="22" t="s">
        <v>23</v>
      </c>
      <c r="G10" s="50"/>
      <c r="H10" s="50"/>
      <c r="I10" s="50"/>
      <c r="J10" s="50"/>
      <c r="K10" s="52" t="s">
        <v>162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50">
        <v>9.0</v>
      </c>
      <c r="B11" s="51" t="s">
        <v>163</v>
      </c>
      <c r="C11" s="51" t="s">
        <v>164</v>
      </c>
      <c r="D11" s="22" t="s">
        <v>27</v>
      </c>
      <c r="E11" s="50"/>
      <c r="F11" s="22" t="s">
        <v>23</v>
      </c>
      <c r="G11" s="50"/>
      <c r="H11" s="50"/>
      <c r="I11" s="50"/>
      <c r="J11" s="50"/>
      <c r="K11" s="52" t="s">
        <v>165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51">
        <v>10.0</v>
      </c>
      <c r="B12" s="51" t="s">
        <v>166</v>
      </c>
      <c r="C12" s="51" t="s">
        <v>167</v>
      </c>
      <c r="D12" s="22" t="s">
        <v>27</v>
      </c>
      <c r="E12" s="50"/>
      <c r="F12" s="22" t="s">
        <v>23</v>
      </c>
      <c r="G12" s="50"/>
      <c r="H12" s="50"/>
      <c r="I12" s="50"/>
      <c r="J12" s="50"/>
      <c r="K12" s="52" t="s">
        <v>168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51">
        <v>11.0</v>
      </c>
      <c r="B13" s="51" t="s">
        <v>169</v>
      </c>
      <c r="C13" s="51" t="s">
        <v>170</v>
      </c>
      <c r="D13" s="22" t="s">
        <v>27</v>
      </c>
      <c r="E13" s="50"/>
      <c r="F13" s="22" t="s">
        <v>23</v>
      </c>
      <c r="G13" s="50"/>
      <c r="H13" s="50"/>
      <c r="I13" s="50"/>
      <c r="J13" s="50"/>
      <c r="K13" s="52" t="s">
        <v>171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51">
        <v>12.0</v>
      </c>
      <c r="B14" s="51" t="s">
        <v>56</v>
      </c>
      <c r="C14" s="51" t="s">
        <v>172</v>
      </c>
      <c r="D14" s="22" t="s">
        <v>27</v>
      </c>
      <c r="E14" s="50"/>
      <c r="F14" s="22" t="s">
        <v>23</v>
      </c>
      <c r="G14" s="50"/>
      <c r="H14" s="50"/>
      <c r="I14" s="50"/>
      <c r="J14" s="50"/>
      <c r="K14" s="52" t="s">
        <v>173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